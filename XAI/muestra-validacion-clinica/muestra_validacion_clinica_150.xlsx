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23ba7585f14f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tiquetado" sheetId="1" r:id="R5e6d38e40d8845e7"/>
    <x:sheet xmlns:r="http://schemas.openxmlformats.org/officeDocument/2006/relationships" name="Resumen" sheetId="2" r:id="Re0d6d78452c54f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0"/>
    <x:numFmt numFmtId="202" formatCode="0.0%"/>
    <x:numFmt numFmtId="203" formatCode="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i/>
      <x:sz val="11"/>
      <x:color rgb="FF1F1F1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</x:fills>
  <x:borders count="9">
    <x:border/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2F0D9"/>
      </x:bottom>
    </x:border>
    <x:border>
      <x:top style="thin">
        <x:color rgb="FFE2F0D9"/>
      </x:top>
      <x:bottom style="thin">
        <x:color rgb="FFE2F0D9"/>
      </x:bottom>
    </x:border>
    <x:border>
      <x:top style="thin">
        <x:color rgb="FFE2F0D9"/>
      </x:top>
    </x:border>
  </x:borders>
  <x:cellStyleXfs count="1">
    <x:xf numFmtId="0" fontId="0" fillId="0" borderId="0"/>
  </x:cellStyleXfs>
  <x:cellXfs count="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200" fontId="0" fillId="3" borderId="0" xfId="0" applyNumberFormat="1" applyFont="1" applyFill="1" applyBorder="1" applyAlignment="1">
      <x:alignment horizontal="center"/>
    </x:xf>
    <x:xf numFmtId="200" fontId="0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 applyAlignment="1">
      <x:alignment horizontal="left" vertical="center"/>
    </x:xf>
    <x:xf numFmtId="200" fontId="0" fillId="3" borderId="3" xfId="0" applyNumberFormat="1" applyFont="1" applyFill="1" applyBorder="1" applyAlignment="1">
      <x:alignment horizontal="center" vertical="center"/>
    </x:xf>
    <x:xf numFmtId="0" fontId="0" fillId="4" borderId="3" xfId="0" applyNumberFormat="1" applyFont="1" applyFill="1" applyBorder="1" applyAlignment="1">
      <x:alignment horizontal="left" vertical="center"/>
    </x:xf>
    <x:xf numFmtId="200" fontId="0" fillId="3" borderId="4" xfId="0" applyNumberFormat="1" applyFont="1" applyFill="1" applyBorder="1" applyAlignment="1">
      <x:alignment horizontal="center" vertical="center"/>
    </x:xf>
    <x:xf numFmtId="0" fontId="0" fillId="4" borderId="4" xfId="0" applyNumberFormat="1" applyFont="1" applyFill="1" applyBorder="1" applyAlignment="1">
      <x:alignment horizontal="left" vertical="center"/>
    </x:xf>
    <x:xf numFmtId="200" fontId="0" fillId="3" borderId="5" xfId="0" applyNumberFormat="1" applyFont="1" applyFill="1" applyBorder="1" applyAlignment="1">
      <x:alignment horizontal="center" vertical="center"/>
    </x:xf>
    <x:xf numFmtId="0" fontId="0" fillId="4" borderId="5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4" xfId="0" applyNumberFormat="1" applyFont="1" applyFill="1" applyBorder="1"/>
    <x:xf numFmtId="200" fontId="0" fillId="0" borderId="4" xfId="0" applyNumberFormat="1" applyFont="1" applyFill="1" applyBorder="1"/>
    <x:xf numFmtId="201" fontId="0" fillId="0" borderId="4" xfId="0" applyNumberFormat="1" applyFont="1" applyFill="1" applyBorder="1"/>
    <x:xf numFmtId="202" fontId="0" fillId="0" borderId="4" xfId="0" applyNumberFormat="1" applyFont="1" applyFill="1" applyBorder="1"/>
    <x:xf numFmtId="0" fontId="0" fillId="0" borderId="5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2" fontId="0" fillId="0" borderId="5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7" xfId="0" applyNumberFormat="1" applyFont="1" applyFill="1" applyBorder="1"/>
    <x:xf numFmtId="202" fontId="0" fillId="0" borderId="7" xfId="0" applyNumberFormat="1" applyFont="1" applyFill="1" applyBorder="1"/>
    <x:xf numFmtId="203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abf434949d4ae4" /><Relationship Type="http://schemas.openxmlformats.org/officeDocument/2006/relationships/theme" Target="/xl/theme/theme1.xml" Id="Rd65fc8b82bdd4f9a" /><Relationship Type="http://schemas.openxmlformats.org/officeDocument/2006/relationships/sharedStrings" Target="/xl/sharedStrings.xml" Id="Refd0dc03d8214c7b" /><Relationship Type="http://schemas.openxmlformats.org/officeDocument/2006/relationships/worksheet" Target="/xl/worksheets/sheet1.xml" Id="R5e6d38e40d8845e7" /><Relationship Type="http://schemas.openxmlformats.org/officeDocument/2006/relationships/worksheet" Target="/xl/worksheets/sheet2.xml" Id="Re0d6d78452c54f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</x:cols>
  <x:sheetData>
    <x:row r="1" ht="28" customHeight="1">
      <x:c r="A1" s="7" t="str">
        <x:v>Número</x:v>
      </x:c>
      <x:c r="B1" s="8" t="str">
        <x:v>Validación clínica</x:v>
      </x:c>
    </x:row>
    <x:row r="2" ht="21" customHeight="1">
      <x:c r="A2" s="16" t="n">
        <x:v>1</x:v>
      </x:c>
      <x:c r="B2" s="17"/>
    </x:row>
    <x:row r="3" ht="21" customHeight="1">
      <x:c r="A3" s="18" t="n">
        <x:v>2</x:v>
      </x:c>
      <x:c r="B3" s="19"/>
    </x:row>
    <x:row r="4" ht="21" customHeight="1">
      <x:c r="A4" s="18" t="n">
        <x:v>3</x:v>
      </x:c>
      <x:c r="B4" s="19"/>
    </x:row>
    <x:row r="5" ht="21" customHeight="1">
      <x:c r="A5" s="18" t="n">
        <x:v>4</x:v>
      </x:c>
      <x:c r="B5" s="19"/>
    </x:row>
    <x:row r="6" ht="21" customHeight="1">
      <x:c r="A6" s="18" t="n">
        <x:v>5</x:v>
      </x:c>
      <x:c r="B6" s="19"/>
    </x:row>
    <x:row r="7" ht="21" customHeight="1">
      <x:c r="A7" s="18" t="n">
        <x:v>6</x:v>
      </x:c>
      <x:c r="B7" s="19"/>
    </x:row>
    <x:row r="8" ht="21" customHeight="1">
      <x:c r="A8" s="18" t="n">
        <x:v>7</x:v>
      </x:c>
      <x:c r="B8" s="19"/>
    </x:row>
    <x:row r="9" ht="21" customHeight="1">
      <x:c r="A9" s="18" t="n">
        <x:v>8</x:v>
      </x:c>
      <x:c r="B9" s="19"/>
    </x:row>
    <x:row r="10" ht="21" customHeight="1">
      <x:c r="A10" s="18" t="n">
        <x:v>9</x:v>
      </x:c>
      <x:c r="B10" s="19"/>
    </x:row>
    <x:row r="11" ht="21" customHeight="1">
      <x:c r="A11" s="18" t="n">
        <x:v>10</x:v>
      </x:c>
      <x:c r="B11" s="19"/>
    </x:row>
    <x:row r="12" ht="21" customHeight="1">
      <x:c r="A12" s="18" t="n">
        <x:v>11</x:v>
      </x:c>
      <x:c r="B12" s="19"/>
    </x:row>
    <x:row r="13" ht="21" customHeight="1">
      <x:c r="A13" s="18" t="n">
        <x:v>12</x:v>
      </x:c>
      <x:c r="B13" s="19"/>
    </x:row>
    <x:row r="14" ht="21" customHeight="1">
      <x:c r="A14" s="18" t="n">
        <x:v>13</x:v>
      </x:c>
      <x:c r="B14" s="19"/>
    </x:row>
    <x:row r="15" ht="21" customHeight="1">
      <x:c r="A15" s="18" t="n">
        <x:v>14</x:v>
      </x:c>
      <x:c r="B15" s="19"/>
    </x:row>
    <x:row r="16" ht="21" customHeight="1">
      <x:c r="A16" s="18" t="n">
        <x:v>15</x:v>
      </x:c>
      <x:c r="B16" s="19"/>
    </x:row>
    <x:row r="17" ht="21" customHeight="1">
      <x:c r="A17" s="18" t="n">
        <x:v>16</x:v>
      </x:c>
      <x:c r="B17" s="19"/>
    </x:row>
    <x:row r="18" ht="21" customHeight="1">
      <x:c r="A18" s="18" t="n">
        <x:v>17</x:v>
      </x:c>
      <x:c r="B18" s="19"/>
    </x:row>
    <x:row r="19" ht="21" customHeight="1">
      <x:c r="A19" s="18" t="n">
        <x:v>18</x:v>
      </x:c>
      <x:c r="B19" s="19"/>
    </x:row>
    <x:row r="20" ht="21" customHeight="1">
      <x:c r="A20" s="18" t="n">
        <x:v>19</x:v>
      </x:c>
      <x:c r="B20" s="19"/>
    </x:row>
    <x:row r="21" ht="21" customHeight="1">
      <x:c r="A21" s="18" t="n">
        <x:v>20</x:v>
      </x:c>
      <x:c r="B21" s="19"/>
    </x:row>
    <x:row r="22" ht="21" customHeight="1">
      <x:c r="A22" s="18" t="n">
        <x:v>21</x:v>
      </x:c>
      <x:c r="B22" s="19"/>
    </x:row>
    <x:row r="23" ht="21" customHeight="1">
      <x:c r="A23" s="18" t="n">
        <x:v>22</x:v>
      </x:c>
      <x:c r="B23" s="19"/>
    </x:row>
    <x:row r="24" ht="21" customHeight="1">
      <x:c r="A24" s="18" t="n">
        <x:v>23</x:v>
      </x:c>
      <x:c r="B24" s="19"/>
    </x:row>
    <x:row r="25" ht="21" customHeight="1">
      <x:c r="A25" s="18" t="n">
        <x:v>24</x:v>
      </x:c>
      <x:c r="B25" s="19"/>
    </x:row>
    <x:row r="26" ht="21" customHeight="1">
      <x:c r="A26" s="18" t="n">
        <x:v>25</x:v>
      </x:c>
      <x:c r="B26" s="19"/>
    </x:row>
    <x:row r="27" ht="21" customHeight="1">
      <x:c r="A27" s="18" t="n">
        <x:v>26</x:v>
      </x:c>
      <x:c r="B27" s="19"/>
    </x:row>
    <x:row r="28" ht="21" customHeight="1">
      <x:c r="A28" s="18" t="n">
        <x:v>27</x:v>
      </x:c>
      <x:c r="B28" s="19"/>
    </x:row>
    <x:row r="29" ht="21" customHeight="1">
      <x:c r="A29" s="18" t="n">
        <x:v>28</x:v>
      </x:c>
      <x:c r="B29" s="19"/>
    </x:row>
    <x:row r="30" ht="21" customHeight="1">
      <x:c r="A30" s="18" t="n">
        <x:v>29</x:v>
      </x:c>
      <x:c r="B30" s="19"/>
    </x:row>
    <x:row r="31" ht="21" customHeight="1">
      <x:c r="A31" s="18" t="n">
        <x:v>30</x:v>
      </x:c>
      <x:c r="B31" s="19"/>
    </x:row>
    <x:row r="32" ht="21" customHeight="1">
      <x:c r="A32" s="18" t="n">
        <x:v>31</x:v>
      </x:c>
      <x:c r="B32" s="19"/>
    </x:row>
    <x:row r="33" ht="21" customHeight="1">
      <x:c r="A33" s="18" t="n">
        <x:v>32</x:v>
      </x:c>
      <x:c r="B33" s="19"/>
    </x:row>
    <x:row r="34" ht="21" customHeight="1">
      <x:c r="A34" s="18" t="n">
        <x:v>33</x:v>
      </x:c>
      <x:c r="B34" s="19"/>
    </x:row>
    <x:row r="35" ht="21" customHeight="1">
      <x:c r="A35" s="18" t="n">
        <x:v>34</x:v>
      </x:c>
      <x:c r="B35" s="19"/>
    </x:row>
    <x:row r="36" ht="21" customHeight="1">
      <x:c r="A36" s="18" t="n">
        <x:v>35</x:v>
      </x:c>
      <x:c r="B36" s="19"/>
    </x:row>
    <x:row r="37" ht="21" customHeight="1">
      <x:c r="A37" s="18" t="n">
        <x:v>36</x:v>
      </x:c>
      <x:c r="B37" s="19"/>
    </x:row>
    <x:row r="38" ht="21" customHeight="1">
      <x:c r="A38" s="18" t="n">
        <x:v>37</x:v>
      </x:c>
      <x:c r="B38" s="19"/>
    </x:row>
    <x:row r="39" ht="21" customHeight="1">
      <x:c r="A39" s="18" t="n">
        <x:v>38</x:v>
      </x:c>
      <x:c r="B39" s="19"/>
    </x:row>
    <x:row r="40" ht="21" customHeight="1">
      <x:c r="A40" s="18" t="n">
        <x:v>39</x:v>
      </x:c>
      <x:c r="B40" s="19"/>
    </x:row>
    <x:row r="41" ht="21" customHeight="1">
      <x:c r="A41" s="18" t="n">
        <x:v>40</x:v>
      </x:c>
      <x:c r="B41" s="19"/>
    </x:row>
    <x:row r="42" ht="21" customHeight="1">
      <x:c r="A42" s="18" t="n">
        <x:v>41</x:v>
      </x:c>
      <x:c r="B42" s="19"/>
    </x:row>
    <x:row r="43" ht="21" customHeight="1">
      <x:c r="A43" s="18" t="n">
        <x:v>42</x:v>
      </x:c>
      <x:c r="B43" s="19"/>
    </x:row>
    <x:row r="44" ht="21" customHeight="1">
      <x:c r="A44" s="18" t="n">
        <x:v>43</x:v>
      </x:c>
      <x:c r="B44" s="19"/>
    </x:row>
    <x:row r="45" ht="21" customHeight="1">
      <x:c r="A45" s="18" t="n">
        <x:v>44</x:v>
      </x:c>
      <x:c r="B45" s="19"/>
    </x:row>
    <x:row r="46" ht="21" customHeight="1">
      <x:c r="A46" s="18" t="n">
        <x:v>45</x:v>
      </x:c>
      <x:c r="B46" s="19"/>
    </x:row>
    <x:row r="47" ht="21" customHeight="1">
      <x:c r="A47" s="18" t="n">
        <x:v>46</x:v>
      </x:c>
      <x:c r="B47" s="19"/>
    </x:row>
    <x:row r="48" ht="21" customHeight="1">
      <x:c r="A48" s="18" t="n">
        <x:v>47</x:v>
      </x:c>
      <x:c r="B48" s="19"/>
    </x:row>
    <x:row r="49" ht="21" customHeight="1">
      <x:c r="A49" s="18" t="n">
        <x:v>48</x:v>
      </x:c>
      <x:c r="B49" s="19"/>
    </x:row>
    <x:row r="50" ht="21" customHeight="1">
      <x:c r="A50" s="18" t="n">
        <x:v>49</x:v>
      </x:c>
      <x:c r="B50" s="19"/>
    </x:row>
    <x:row r="51" ht="21" customHeight="1">
      <x:c r="A51" s="18" t="n">
        <x:v>50</x:v>
      </x:c>
      <x:c r="B51" s="19"/>
    </x:row>
    <x:row r="52" ht="21" customHeight="1">
      <x:c r="A52" s="18" t="n">
        <x:v>51</x:v>
      </x:c>
      <x:c r="B52" s="19"/>
    </x:row>
    <x:row r="53" ht="21" customHeight="1">
      <x:c r="A53" s="18" t="n">
        <x:v>52</x:v>
      </x:c>
      <x:c r="B53" s="19"/>
    </x:row>
    <x:row r="54" ht="21" customHeight="1">
      <x:c r="A54" s="18" t="n">
        <x:v>53</x:v>
      </x:c>
      <x:c r="B54" s="19"/>
    </x:row>
    <x:row r="55" ht="21" customHeight="1">
      <x:c r="A55" s="18" t="n">
        <x:v>54</x:v>
      </x:c>
      <x:c r="B55" s="19"/>
    </x:row>
    <x:row r="56" ht="21" customHeight="1">
      <x:c r="A56" s="18" t="n">
        <x:v>55</x:v>
      </x:c>
      <x:c r="B56" s="19"/>
    </x:row>
    <x:row r="57" ht="21" customHeight="1">
      <x:c r="A57" s="18" t="n">
        <x:v>56</x:v>
      </x:c>
      <x:c r="B57" s="19"/>
    </x:row>
    <x:row r="58" ht="21" customHeight="1">
      <x:c r="A58" s="18" t="n">
        <x:v>57</x:v>
      </x:c>
      <x:c r="B58" s="19"/>
    </x:row>
    <x:row r="59" ht="21" customHeight="1">
      <x:c r="A59" s="18" t="n">
        <x:v>58</x:v>
      </x:c>
      <x:c r="B59" s="19"/>
    </x:row>
    <x:row r="60" ht="21" customHeight="1">
      <x:c r="A60" s="18" t="n">
        <x:v>59</x:v>
      </x:c>
      <x:c r="B60" s="19"/>
    </x:row>
    <x:row r="61" ht="21" customHeight="1">
      <x:c r="A61" s="18" t="n">
        <x:v>60</x:v>
      </x:c>
      <x:c r="B61" s="19"/>
    </x:row>
    <x:row r="62" ht="21" customHeight="1">
      <x:c r="A62" s="18" t="n">
        <x:v>61</x:v>
      </x:c>
      <x:c r="B62" s="19"/>
    </x:row>
    <x:row r="63" ht="21" customHeight="1">
      <x:c r="A63" s="18" t="n">
        <x:v>62</x:v>
      </x:c>
      <x:c r="B63" s="19"/>
    </x:row>
    <x:row r="64" ht="21" customHeight="1">
      <x:c r="A64" s="18" t="n">
        <x:v>63</x:v>
      </x:c>
      <x:c r="B64" s="19"/>
    </x:row>
    <x:row r="65" ht="21" customHeight="1">
      <x:c r="A65" s="18" t="n">
        <x:v>64</x:v>
      </x:c>
      <x:c r="B65" s="19"/>
    </x:row>
    <x:row r="66" ht="21" customHeight="1">
      <x:c r="A66" s="18" t="n">
        <x:v>65</x:v>
      </x:c>
      <x:c r="B66" s="19"/>
    </x:row>
    <x:row r="67" ht="21" customHeight="1">
      <x:c r="A67" s="18" t="n">
        <x:v>66</x:v>
      </x:c>
      <x:c r="B67" s="19"/>
    </x:row>
    <x:row r="68" ht="21" customHeight="1">
      <x:c r="A68" s="18" t="n">
        <x:v>67</x:v>
      </x:c>
      <x:c r="B68" s="19"/>
    </x:row>
    <x:row r="69" ht="21" customHeight="1">
      <x:c r="A69" s="18" t="n">
        <x:v>68</x:v>
      </x:c>
      <x:c r="B69" s="19"/>
    </x:row>
    <x:row r="70" ht="21" customHeight="1">
      <x:c r="A70" s="18" t="n">
        <x:v>69</x:v>
      </x:c>
      <x:c r="B70" s="19"/>
    </x:row>
    <x:row r="71" ht="21" customHeight="1">
      <x:c r="A71" s="18" t="n">
        <x:v>70</x:v>
      </x:c>
      <x:c r="B71" s="19"/>
    </x:row>
    <x:row r="72" ht="21" customHeight="1">
      <x:c r="A72" s="18" t="n">
        <x:v>71</x:v>
      </x:c>
      <x:c r="B72" s="19"/>
    </x:row>
    <x:row r="73" ht="21" customHeight="1">
      <x:c r="A73" s="18" t="n">
        <x:v>72</x:v>
      </x:c>
      <x:c r="B73" s="19"/>
    </x:row>
    <x:row r="74" ht="21" customHeight="1">
      <x:c r="A74" s="18" t="n">
        <x:v>73</x:v>
      </x:c>
      <x:c r="B74" s="19"/>
    </x:row>
    <x:row r="75" ht="21" customHeight="1">
      <x:c r="A75" s="18" t="n">
        <x:v>74</x:v>
      </x:c>
      <x:c r="B75" s="19"/>
    </x:row>
    <x:row r="76" ht="21" customHeight="1">
      <x:c r="A76" s="18" t="n">
        <x:v>75</x:v>
      </x:c>
      <x:c r="B76" s="19"/>
    </x:row>
    <x:row r="77" ht="21" customHeight="1">
      <x:c r="A77" s="18" t="n">
        <x:v>76</x:v>
      </x:c>
      <x:c r="B77" s="19"/>
    </x:row>
    <x:row r="78" ht="21" customHeight="1">
      <x:c r="A78" s="18" t="n">
        <x:v>77</x:v>
      </x:c>
      <x:c r="B78" s="19"/>
    </x:row>
    <x:row r="79" ht="21" customHeight="1">
      <x:c r="A79" s="18" t="n">
        <x:v>78</x:v>
      </x:c>
      <x:c r="B79" s="19"/>
    </x:row>
    <x:row r="80" ht="21" customHeight="1">
      <x:c r="A80" s="18" t="n">
        <x:v>79</x:v>
      </x:c>
      <x:c r="B80" s="19"/>
    </x:row>
    <x:row r="81" ht="21" customHeight="1">
      <x:c r="A81" s="18" t="n">
        <x:v>80</x:v>
      </x:c>
      <x:c r="B81" s="19"/>
    </x:row>
    <x:row r="82" ht="21" customHeight="1">
      <x:c r="A82" s="18" t="n">
        <x:v>81</x:v>
      </x:c>
      <x:c r="B82" s="19"/>
    </x:row>
    <x:row r="83" ht="21" customHeight="1">
      <x:c r="A83" s="18" t="n">
        <x:v>82</x:v>
      </x:c>
      <x:c r="B83" s="19"/>
    </x:row>
    <x:row r="84" ht="21" customHeight="1">
      <x:c r="A84" s="18" t="n">
        <x:v>83</x:v>
      </x:c>
      <x:c r="B84" s="19"/>
    </x:row>
    <x:row r="85" ht="21" customHeight="1">
      <x:c r="A85" s="18" t="n">
        <x:v>84</x:v>
      </x:c>
      <x:c r="B85" s="19"/>
    </x:row>
    <x:row r="86" ht="21" customHeight="1">
      <x:c r="A86" s="18" t="n">
        <x:v>85</x:v>
      </x:c>
      <x:c r="B86" s="19"/>
    </x:row>
    <x:row r="87" ht="21" customHeight="1">
      <x:c r="A87" s="18" t="n">
        <x:v>86</x:v>
      </x:c>
      <x:c r="B87" s="19"/>
    </x:row>
    <x:row r="88" ht="21" customHeight="1">
      <x:c r="A88" s="18" t="n">
        <x:v>87</x:v>
      </x:c>
      <x:c r="B88" s="19"/>
    </x:row>
    <x:row r="89" ht="21" customHeight="1">
      <x:c r="A89" s="18" t="n">
        <x:v>88</x:v>
      </x:c>
      <x:c r="B89" s="19"/>
    </x:row>
    <x:row r="90" ht="21" customHeight="1">
      <x:c r="A90" s="18" t="n">
        <x:v>89</x:v>
      </x:c>
      <x:c r="B90" s="19"/>
    </x:row>
    <x:row r="91" ht="21" customHeight="1">
      <x:c r="A91" s="18" t="n">
        <x:v>90</x:v>
      </x:c>
      <x:c r="B91" s="19"/>
    </x:row>
    <x:row r="92" ht="21" customHeight="1">
      <x:c r="A92" s="18" t="n">
        <x:v>91</x:v>
      </x:c>
      <x:c r="B92" s="19"/>
    </x:row>
    <x:row r="93" ht="21" customHeight="1">
      <x:c r="A93" s="18" t="n">
        <x:v>92</x:v>
      </x:c>
      <x:c r="B93" s="19"/>
    </x:row>
    <x:row r="94" ht="21" customHeight="1">
      <x:c r="A94" s="18" t="n">
        <x:v>93</x:v>
      </x:c>
      <x:c r="B94" s="19"/>
    </x:row>
    <x:row r="95" ht="21" customHeight="1">
      <x:c r="A95" s="18" t="n">
        <x:v>94</x:v>
      </x:c>
      <x:c r="B95" s="19"/>
    </x:row>
    <x:row r="96" ht="21" customHeight="1">
      <x:c r="A96" s="18" t="n">
        <x:v>95</x:v>
      </x:c>
      <x:c r="B96" s="19"/>
    </x:row>
    <x:row r="97" ht="21" customHeight="1">
      <x:c r="A97" s="18" t="n">
        <x:v>96</x:v>
      </x:c>
      <x:c r="B97" s="19"/>
    </x:row>
    <x:row r="98" ht="21" customHeight="1">
      <x:c r="A98" s="18" t="n">
        <x:v>97</x:v>
      </x:c>
      <x:c r="B98" s="19"/>
    </x:row>
    <x:row r="99" ht="21" customHeight="1">
      <x:c r="A99" s="18" t="n">
        <x:v>98</x:v>
      </x:c>
      <x:c r="B99" s="19"/>
    </x:row>
    <x:row r="100" ht="21" customHeight="1">
      <x:c r="A100" s="18" t="n">
        <x:v>99</x:v>
      </x:c>
      <x:c r="B100" s="19"/>
    </x:row>
    <x:row r="101" ht="21" customHeight="1">
      <x:c r="A101" s="18" t="n">
        <x:v>100</x:v>
      </x:c>
      <x:c r="B101" s="19"/>
    </x:row>
    <x:row r="102" ht="21" customHeight="1">
      <x:c r="A102" s="18" t="n">
        <x:v>101</x:v>
      </x:c>
      <x:c r="B102" s="19"/>
    </x:row>
    <x:row r="103" ht="21" customHeight="1">
      <x:c r="A103" s="18" t="n">
        <x:v>102</x:v>
      </x:c>
      <x:c r="B103" s="19"/>
    </x:row>
    <x:row r="104" ht="21" customHeight="1">
      <x:c r="A104" s="18" t="n">
        <x:v>103</x:v>
      </x:c>
      <x:c r="B104" s="19"/>
    </x:row>
    <x:row r="105" ht="21" customHeight="1">
      <x:c r="A105" s="18" t="n">
        <x:v>104</x:v>
      </x:c>
      <x:c r="B105" s="19"/>
    </x:row>
    <x:row r="106" ht="21" customHeight="1">
      <x:c r="A106" s="18" t="n">
        <x:v>105</x:v>
      </x:c>
      <x:c r="B106" s="19"/>
    </x:row>
    <x:row r="107" ht="21" customHeight="1">
      <x:c r="A107" s="18" t="n">
        <x:v>106</x:v>
      </x:c>
      <x:c r="B107" s="19"/>
    </x:row>
    <x:row r="108" ht="21" customHeight="1">
      <x:c r="A108" s="18" t="n">
        <x:v>107</x:v>
      </x:c>
      <x:c r="B108" s="19"/>
    </x:row>
    <x:row r="109" ht="21" customHeight="1">
      <x:c r="A109" s="18" t="n">
        <x:v>108</x:v>
      </x:c>
      <x:c r="B109" s="19"/>
    </x:row>
    <x:row r="110" ht="21" customHeight="1">
      <x:c r="A110" s="18" t="n">
        <x:v>109</x:v>
      </x:c>
      <x:c r="B110" s="19"/>
    </x:row>
    <x:row r="111" ht="21" customHeight="1">
      <x:c r="A111" s="18" t="n">
        <x:v>110</x:v>
      </x:c>
      <x:c r="B111" s="19"/>
    </x:row>
    <x:row r="112" ht="21" customHeight="1">
      <x:c r="A112" s="18" t="n">
        <x:v>111</x:v>
      </x:c>
      <x:c r="B112" s="19"/>
    </x:row>
    <x:row r="113" ht="21" customHeight="1">
      <x:c r="A113" s="18" t="n">
        <x:v>112</x:v>
      </x:c>
      <x:c r="B113" s="19"/>
    </x:row>
    <x:row r="114" ht="21" customHeight="1">
      <x:c r="A114" s="18" t="n">
        <x:v>113</x:v>
      </x:c>
      <x:c r="B114" s="19"/>
    </x:row>
    <x:row r="115" ht="21" customHeight="1">
      <x:c r="A115" s="18" t="n">
        <x:v>114</x:v>
      </x:c>
      <x:c r="B115" s="19"/>
    </x:row>
    <x:row r="116" ht="21" customHeight="1">
      <x:c r="A116" s="18" t="n">
        <x:v>115</x:v>
      </x:c>
      <x:c r="B116" s="19"/>
    </x:row>
    <x:row r="117" ht="21" customHeight="1">
      <x:c r="A117" s="18" t="n">
        <x:v>116</x:v>
      </x:c>
      <x:c r="B117" s="19"/>
    </x:row>
    <x:row r="118" ht="21" customHeight="1">
      <x:c r="A118" s="18" t="n">
        <x:v>117</x:v>
      </x:c>
      <x:c r="B118" s="19"/>
    </x:row>
    <x:row r="119" ht="21" customHeight="1">
      <x:c r="A119" s="18" t="n">
        <x:v>118</x:v>
      </x:c>
      <x:c r="B119" s="19"/>
    </x:row>
    <x:row r="120" ht="21" customHeight="1">
      <x:c r="A120" s="18" t="n">
        <x:v>119</x:v>
      </x:c>
      <x:c r="B120" s="19"/>
    </x:row>
    <x:row r="121" ht="21" customHeight="1">
      <x:c r="A121" s="18" t="n">
        <x:v>120</x:v>
      </x:c>
      <x:c r="B121" s="19"/>
    </x:row>
    <x:row r="122" ht="21" customHeight="1">
      <x:c r="A122" s="18" t="n">
        <x:v>121</x:v>
      </x:c>
      <x:c r="B122" s="19"/>
    </x:row>
    <x:row r="123" ht="21" customHeight="1">
      <x:c r="A123" s="18" t="n">
        <x:v>122</x:v>
      </x:c>
      <x:c r="B123" s="19"/>
    </x:row>
    <x:row r="124" ht="21" customHeight="1">
      <x:c r="A124" s="18" t="n">
        <x:v>123</x:v>
      </x:c>
      <x:c r="B124" s="19"/>
    </x:row>
    <x:row r="125" ht="21" customHeight="1">
      <x:c r="A125" s="18" t="n">
        <x:v>124</x:v>
      </x:c>
      <x:c r="B125" s="19"/>
    </x:row>
    <x:row r="126" ht="21" customHeight="1">
      <x:c r="A126" s="18" t="n">
        <x:v>125</x:v>
      </x:c>
      <x:c r="B126" s="19"/>
    </x:row>
    <x:row r="127" ht="21" customHeight="1">
      <x:c r="A127" s="18" t="n">
        <x:v>126</x:v>
      </x:c>
      <x:c r="B127" s="19"/>
    </x:row>
    <x:row r="128" ht="21" customHeight="1">
      <x:c r="A128" s="18" t="n">
        <x:v>127</x:v>
      </x:c>
      <x:c r="B128" s="19"/>
    </x:row>
    <x:row r="129" ht="21" customHeight="1">
      <x:c r="A129" s="18" t="n">
        <x:v>128</x:v>
      </x:c>
      <x:c r="B129" s="19"/>
    </x:row>
    <x:row r="130" ht="21" customHeight="1">
      <x:c r="A130" s="18" t="n">
        <x:v>129</x:v>
      </x:c>
      <x:c r="B130" s="19"/>
    </x:row>
    <x:row r="131" ht="21" customHeight="1">
      <x:c r="A131" s="18" t="n">
        <x:v>130</x:v>
      </x:c>
      <x:c r="B131" s="19"/>
    </x:row>
    <x:row r="132" ht="21" customHeight="1">
      <x:c r="A132" s="18" t="n">
        <x:v>131</x:v>
      </x:c>
      <x:c r="B132" s="19"/>
    </x:row>
    <x:row r="133" ht="21" customHeight="1">
      <x:c r="A133" s="18" t="n">
        <x:v>132</x:v>
      </x:c>
      <x:c r="B133" s="19"/>
    </x:row>
    <x:row r="134" ht="21" customHeight="1">
      <x:c r="A134" s="18" t="n">
        <x:v>133</x:v>
      </x:c>
      <x:c r="B134" s="19"/>
    </x:row>
    <x:row r="135" ht="21" customHeight="1">
      <x:c r="A135" s="18" t="n">
        <x:v>134</x:v>
      </x:c>
      <x:c r="B135" s="19"/>
    </x:row>
    <x:row r="136" ht="21" customHeight="1">
      <x:c r="A136" s="18" t="n">
        <x:v>135</x:v>
      </x:c>
      <x:c r="B136" s="19"/>
    </x:row>
    <x:row r="137" ht="21" customHeight="1">
      <x:c r="A137" s="18" t="n">
        <x:v>136</x:v>
      </x:c>
      <x:c r="B137" s="19"/>
    </x:row>
    <x:row r="138" ht="21" customHeight="1">
      <x:c r="A138" s="18" t="n">
        <x:v>137</x:v>
      </x:c>
      <x:c r="B138" s="19"/>
    </x:row>
    <x:row r="139" ht="21" customHeight="1">
      <x:c r="A139" s="18" t="n">
        <x:v>138</x:v>
      </x:c>
      <x:c r="B139" s="19"/>
    </x:row>
    <x:row r="140" ht="21" customHeight="1">
      <x:c r="A140" s="18" t="n">
        <x:v>139</x:v>
      </x:c>
      <x:c r="B140" s="19"/>
    </x:row>
    <x:row r="141" ht="21" customHeight="1">
      <x:c r="A141" s="18" t="n">
        <x:v>140</x:v>
      </x:c>
      <x:c r="B141" s="19"/>
    </x:row>
    <x:row r="142" ht="21" customHeight="1">
      <x:c r="A142" s="18" t="n">
        <x:v>141</x:v>
      </x:c>
      <x:c r="B142" s="19"/>
    </x:row>
    <x:row r="143" ht="21" customHeight="1">
      <x:c r="A143" s="18" t="n">
        <x:v>142</x:v>
      </x:c>
      <x:c r="B143" s="19"/>
    </x:row>
    <x:row r="144" ht="21" customHeight="1">
      <x:c r="A144" s="18" t="n">
        <x:v>143</x:v>
      </x:c>
      <x:c r="B144" s="19"/>
    </x:row>
    <x:row r="145" ht="21" customHeight="1">
      <x:c r="A145" s="18" t="n">
        <x:v>144</x:v>
      </x:c>
      <x:c r="B145" s="19"/>
    </x:row>
    <x:row r="146" ht="21" customHeight="1">
      <x:c r="A146" s="18" t="n">
        <x:v>145</x:v>
      </x:c>
      <x:c r="B146" s="19"/>
    </x:row>
    <x:row r="147" ht="21" customHeight="1">
      <x:c r="A147" s="18" t="n">
        <x:v>146</x:v>
      </x:c>
      <x:c r="B147" s="19"/>
    </x:row>
    <x:row r="148" ht="21" customHeight="1">
      <x:c r="A148" s="18" t="n">
        <x:v>147</x:v>
      </x:c>
      <x:c r="B148" s="19"/>
    </x:row>
    <x:row r="149" ht="21" customHeight="1">
      <x:c r="A149" s="18" t="n">
        <x:v>148</x:v>
      </x:c>
      <x:c r="B149" s="19"/>
    </x:row>
    <x:row r="150" ht="21" customHeight="1">
      <x:c r="A150" s="18" t="n">
        <x:v>149</x:v>
      </x:c>
      <x:c r="B150" s="19"/>
    </x:row>
    <x:row r="151" ht="21" customHeight="1">
      <x:c r="A151" s="20" t="n">
        <x:v>150</x:v>
      </x:c>
      <x:c r="B151" s="21"/>
    </x:row>
  </x:sheetData>
  <x:conditionalFormatting sqref="B2:B151">
    <x:cfRule type="containsText" dxfId="0" priority="1" operator="containsText" text="Concordante"/>
    <x:cfRule type="containsText" dxfId="1" priority="2" operator="containsText" text="parcialmente concordante"/>
    <x:cfRule type="containsText" dxfId="2" priority="3" operator="containsText" text="no concordante"/>
  </x:conditionalFormatting>
  <x:dataValidations count="1">
    <x:dataValidation type="list" sqref="B2:B151">
      <x:formula1>"Concordante,parcialmente concordante,no concordante"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19" hidden="0" customWidth="1"/>
    <x:col min="4" max="4" width="21" hidden="0" customWidth="1"/>
    <x:col min="5" max="5" width="3" hidden="0" customWidth="1"/>
    <x:col min="6" max="6" width="24" hidden="0" customWidth="1"/>
    <x:col min="7" max="7" width="15" hidden="0" customWidth="1"/>
  </x:cols>
  <x:sheetData>
    <x:row r="1" ht="32" customHeight="1">
      <x:c r="A1" s="24" t="str">
        <x:v>Resumen de validación clínica</x:v>
      </x:c>
      <x:c r="B1" s="24"/>
      <x:c r="C1" s="24"/>
      <x:c r="D1" s="24"/>
      <x:c r="F1" s="47" t="str">
        <x:v>Control global</x:v>
      </x:c>
      <x:c r="G1" s="47" t="str">
        <x:v>Valor</x:v>
      </x:c>
    </x:row>
    <x:row r="2">
      <x:c r="F2" s="56" t="str">
        <x:v>Total previsto</x:v>
      </x:c>
      <x:c r="G2" s="50" t="n">
        <x:v>150</x:v>
      </x:c>
    </x:row>
    <x:row r="3">
      <x:c r="A3" s="29" t="str">
        <x:v>Clase</x:v>
      </x:c>
      <x:c r="B3" s="29" t="str">
        <x:v>Total</x:v>
      </x:c>
      <x:c r="C3" s="29" t="str">
        <x:v>Media sobre 150</x:v>
      </x:c>
      <x:c r="D3" s="29" t="str">
        <x:v>% sobre etiquetadas</x:v>
      </x:c>
      <x:c r="F3" s="57" t="str">
        <x:v>Total etiquetadas</x:v>
      </x:c>
      <x:c r="G3" s="52" t="n">
        <x:f>COUNTIF('Etiquetado'!$B$2:$B$151,"&lt;&gt;")</x:f>
        <x:v>0</x:v>
      </x:c>
    </x:row>
    <x:row r="4">
      <x:c r="A4" s="33" t="str">
        <x:v>Concordante</x:v>
      </x:c>
      <x:c r="B4" s="34" t="n">
        <x:f>COUNTIF('Etiquetado'!$B$2:$B$151,A4)</x:f>
        <x:v>0</x:v>
      </x:c>
      <x:c r="C4" s="35" t="n">
        <x:f>B4/$G$2</x:f>
        <x:v>0</x:v>
      </x:c>
      <x:c r="D4" s="36" t="n">
        <x:f>IF($G$3=0,0,B4/$G$3)</x:f>
        <x:v>0</x:v>
      </x:c>
      <x:c r="F4" s="57" t="str">
        <x:v>Pendientes</x:v>
      </x:c>
      <x:c r="G4" s="52" t="n">
        <x:f>G2-G3</x:f>
        <x:v>150</x:v>
      </x:c>
    </x:row>
    <x:row r="5">
      <x:c r="A5" s="37" t="str">
        <x:v>parcialmente concordante</x:v>
      </x:c>
      <x:c r="B5" s="38" t="n">
        <x:f>COUNTIF('Etiquetado'!$B$2:$B$151,A5)</x:f>
        <x:v>0</x:v>
      </x:c>
      <x:c r="C5" s="39" t="n">
        <x:f>B5/$G$2</x:f>
        <x:v>0</x:v>
      </x:c>
      <x:c r="D5" s="40" t="n">
        <x:f>IF($G$3=0,0,B5/$G$3)</x:f>
        <x:v>0</x:v>
      </x:c>
      <x:c r="F5" s="57" t="str">
        <x:v>% completado</x:v>
      </x:c>
      <x:c r="G5" s="53" t="n">
        <x:f>G3/G2</x:f>
        <x:v>0</x:v>
      </x:c>
    </x:row>
    <x:row r="6">
      <x:c r="A6" s="41" t="str">
        <x:v>no concordante</x:v>
      </x:c>
      <x:c r="B6" s="42" t="n">
        <x:f>COUNTIF('Etiquetado'!$B$2:$B$151,A6)</x:f>
        <x:v>0</x:v>
      </x:c>
      <x:c r="C6" s="43" t="n">
        <x:f>B6/$G$2</x:f>
        <x:v>0</x:v>
      </x:c>
      <x:c r="D6" s="44" t="n">
        <x:f>IF($G$3=0,0,B6/$G$3)</x:f>
        <x:v>0</x:v>
      </x:c>
      <x:c r="F6" s="57" t="str">
        <x:v>Suma de clases</x:v>
      </x:c>
      <x:c r="G6" s="54" t="n">
        <x:f>SUM(B4:B6)</x:f>
        <x:v>0</x:v>
      </x:c>
    </x:row>
    <x:row r="7">
      <x:c r="F7" s="57" t="str">
        <x:v>Media por clase</x:v>
      </x:c>
      <x:c r="G7" s="54" t="n">
        <x:f>AVERAGE(B4:B6)</x:f>
        <x:v>0</x:v>
      </x:c>
    </x:row>
    <x:row r="8">
      <x:c r="A8" s="62" t="str">
        <x:v>La media sobre 150 indica la proporción de toda la muestra. El porcentaje se calcula únicamente sobre las validaciones ya etiquetadas.</x:v>
      </x:c>
      <x:c r="B8" s="62" t="str">
        <x:v>La media sobre 150 indica la proporción de toda la muestra. El porcentaje se calcula únicamente sobre las validaciones ya etiquetadas.</x:v>
      </x:c>
      <x:c r="C8" s="62" t="str">
        <x:v>La media sobre 150 indica la proporción de toda la muestra. El porcentaje se calcula únicamente sobre las validaciones ya etiquetadas.</x:v>
      </x:c>
      <x:c r="D8" s="62" t="str">
        <x:v>La media sobre 150 indica la proporción de toda la muestra. El porcentaje se calcula únicamente sobre las validaciones ya etiquetadas.</x:v>
      </x:c>
      <x:c r="F8" s="58" t="str">
        <x:v>Control de integridad</x:v>
      </x:c>
      <x:c r="G8" s="55" t="str">
        <x:f>IF(G6=G3,"OK","REVISAR")</x:f>
        <x:v>OK</x:v>
      </x:c>
    </x:row>
    <x:row r="9">
      <x:c r="A9" s="62" t="str">
        <x:v>La media sobre 150 indica la proporción de toda la muestra. El porcentaje se calcula únicamente sobre las validaciones ya etiquetadas.</x:v>
      </x:c>
      <x:c r="B9" s="62" t="str">
        <x:v>La media sobre 150 indica la proporción de toda la muestra. El porcentaje se calcula únicamente sobre las validaciones ya etiquetadas.</x:v>
      </x:c>
      <x:c r="C9" s="62" t="str">
        <x:v>La media sobre 150 indica la proporción de toda la muestra. El porcentaje se calcula únicamente sobre las validaciones ya etiquetadas.</x:v>
      </x:c>
      <x:c r="D9" s="62" t="str">
        <x:v>La media sobre 150 indica la proporción de toda la muestra. El porcentaje se calcula únicamente sobre las validaciones ya etiquetadas.</x:v>
      </x:c>
    </x:row>
  </x:sheetData>
  <x:mergeCells>
    <x:mergeCell ref="A1:D1"/>
    <x:mergeCell ref="A8:D9"/>
  </x:mergeCells>
  <x:conditionalFormatting sqref="G8:G8">
    <x:cfRule type="containsText" dxfId="3" priority="1" operator="containsText" text="OK"/>
    <x:cfRule type="containsText" dxfId="4" priority="2" operator="containsText" text="REVISAR"/>
  </x:conditionalFormatting>
  <x:pageMargins left="0.7" right="0.7" top="0.75" bottom="0.75" header="0.3" footer="0.3"/>
</x:worksheet>
</file>