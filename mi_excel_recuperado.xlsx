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9960"/>
  </bookViews>
  <sheets>
    <sheet name="Etiquetado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<sst xmlns="http://schemas.openxmlformats.org/spreadsheetml/2006/main" count="77" uniqueCount="20">
  <si>
    <t>Número</t>
  </si>
  <si>
    <t>Validación clínica</t>
  </si>
  <si>
    <t>parcialmente concordante</t>
  </si>
  <si>
    <t>no concordante</t>
  </si>
  <si>
    <t>Concordante</t>
  </si>
  <si>
    <t>Resumen de validación clínica</t>
  </si>
  <si>
    <t>Control global</t>
  </si>
  <si>
    <t>Valor</t>
  </si>
  <si>
    <t>Total previsto</t>
  </si>
  <si>
    <t>Clase</t>
  </si>
  <si>
    <t>Total</t>
  </si>
  <si>
    <t>Media sobre 150</t>
  </si>
  <si>
    <t>% sobre etiquetadas</t>
  </si>
  <si>
    <t>Total etiquetadas</t>
  </si>
  <si>
    <t>Pendientes</t>
  </si>
  <si>
    <t>% completado</t>
  </si>
  <si>
    <t>Suma de clases</t>
  </si>
  <si>
    <t>Media por clase</t>
  </si>
  <si>
    <t>La media sobre 150 indica la proporción de toda la muestra. El porcentaje se calcula únicamente sobre las validaciones ya etiquetadas.</t>
  </si>
  <si>
    <t>Control de integridad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</si>
</sst>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.000"/>
    <numFmt numFmtId="179" formatCode="0.0%"/>
  </numFmts>
  <fonts count="24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E2F0D9"/>
      </bottom>
      <diagonal/>
    </border>
    <border>
      <left/>
      <right/>
      <top style="thin">
        <color rgb="FFE2F0D9"/>
      </top>
      <bottom style="thin">
        <color rgb="FFE2F0D9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 style="thin">
        <color rgb="FFE2F0D9"/>
      </top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12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  <xf numFmtId="0" fontId="0" fillId="4" borderId="1" xfId="0" applyNumberFormat="1" applyFont="1" applyFill="1" applyBorder="1"/>
    <xf numFmtId="1" fontId="0" fillId="0" borderId="1" xfId="0" applyNumberFormat="1" applyFont="1" applyFill="1" applyBorder="1"/>
    <xf numFmtId="0" fontId="2" fillId="5" borderId="0" xfId="0" applyNumberFormat="1" applyFont="1" applyFill="1" applyBorder="1" applyAlignment="1">
      <alignment horizontal="center" vertical="center" wrapText="1"/>
    </xf>
    <xf numFmtId="0" fontId="0" fillId="4" borderId="2" xfId="0" applyNumberFormat="1" applyFont="1" applyFill="1" applyBorder="1"/>
    <xf numFmtId="1" fontId="0" fillId="0" borderId="2" xfId="0" applyNumberFormat="1" applyFont="1" applyFill="1" applyBorder="1"/>
    <xf numFmtId="0" fontId="0" fillId="0" borderId="3" xfId="0" applyNumberFormat="1" applyFont="1" applyFill="1" applyBorder="1"/>
    <xf numFmtId="1" fontId="0" fillId="0" borderId="3" xfId="0" applyNumberFormat="1" applyFont="1" applyFill="1" applyBorder="1"/>
    <xf numFmtId="178" fontId="0" fillId="0" borderId="3" xfId="0" applyNumberFormat="1" applyFont="1" applyFill="1" applyBorder="1"/>
    <xf numFmtId="179" fontId="0" fillId="0" borderId="3" xfId="0" applyNumberFormat="1" applyFont="1" applyFill="1" applyBorder="1"/>
    <xf numFmtId="0" fontId="0" fillId="0" borderId="4" xfId="0" applyNumberFormat="1" applyFont="1" applyFill="1" applyBorder="1"/>
    <xf numFmtId="1" fontId="0" fillId="0" borderId="4" xfId="0" applyNumberFormat="1" applyFont="1" applyFill="1" applyBorder="1"/>
    <xf numFmtId="178" fontId="0" fillId="0" borderId="4" xfId="0" applyNumberFormat="1" applyFont="1" applyFill="1" applyBorder="1"/>
    <xf numFmtId="179" fontId="0" fillId="0" borderId="4" xfId="0" applyNumberFormat="1" applyFont="1" applyFill="1" applyBorder="1"/>
    <xf numFmtId="179" fontId="0" fillId="0" borderId="2" xfId="0" applyNumberFormat="1" applyFont="1" applyFill="1" applyBorder="1"/>
    <xf numFmtId="0" fontId="0" fillId="0" borderId="5" xfId="0" applyNumberFormat="1" applyFont="1" applyFill="1" applyBorder="1"/>
    <xf numFmtId="1" fontId="0" fillId="0" borderId="5" xfId="0" applyNumberFormat="1" applyFont="1" applyFill="1" applyBorder="1"/>
    <xf numFmtId="178" fontId="0" fillId="0" borderId="5" xfId="0" applyNumberFormat="1" applyFont="1" applyFill="1" applyBorder="1"/>
    <xf numFmtId="179" fontId="0" fillId="0" borderId="5" xfId="0" applyNumberFormat="1" applyFont="1" applyFill="1" applyBorder="1"/>
    <xf numFmtId="2" fontId="0" fillId="0" borderId="2" xfId="0" applyNumberFormat="1" applyFont="1" applyFill="1" applyBorder="1"/>
    <xf numFmtId="0" fontId="3" fillId="6" borderId="0" xfId="0" applyNumberFormat="1" applyFont="1" applyFill="1" applyBorder="1" applyAlignment="1">
      <alignment vertical="center" wrapText="1"/>
    </xf>
    <xf numFmtId="0" fontId="0" fillId="4" borderId="6" xfId="0" applyNumberFormat="1" applyFont="1" applyFill="1" applyBorder="1"/>
    <xf numFmtId="0" fontId="0" fillId="0" borderId="6" xfId="0" applyNumberFormat="1" applyFont="1" applyFill="1" applyBorder="1"/>
    <xf numFmtId="0" fontId="2" fillId="2" borderId="7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1" fontId="0" fillId="7" borderId="3" xfId="0" applyNumberFormat="1" applyFont="1" applyFill="1" applyBorder="1" applyAlignment="1">
      <alignment horizontal="center" vertical="center"/>
    </xf>
    <xf numFmtId="0" fontId="0" fillId="8" borderId="3" xfId="0" applyNumberFormat="1" applyFont="1" applyFill="1" applyBorder="1" applyAlignment="1">
      <alignment horizontal="left" vertical="center"/>
    </xf>
    <xf numFmtId="1" fontId="0" fillId="7" borderId="4" xfId="0" applyNumberFormat="1" applyFont="1" applyFill="1" applyBorder="1" applyAlignment="1">
      <alignment horizontal="center" vertical="center"/>
    </xf>
    <xf numFmtId="0" fontId="0" fillId="8" borderId="4" xfId="0" applyNumberFormat="1" applyFont="1" applyFill="1" applyBorder="1" applyAlignment="1">
      <alignment horizontal="left" vertical="center"/>
    </xf>
    <xf numFmtId="1" fontId="0" fillId="7" borderId="5" xfId="0" applyNumberFormat="1" applyFont="1" applyFill="1" applyBorder="1" applyAlignment="1">
      <alignment horizontal="center" vertical="center"/>
    </xf>
    <xf numFmtId="0" fontId="0" fillId="8" borderId="5" xfId="0" applyNumberFormat="1" applyFont="1" applyFill="1" applyBorder="1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showGridLines="0" tabSelected="1" topLeftCell="A35" workbookViewId="0">
      <selection activeCell="C48" sqref="C48"/>
    </sheetView>
  </sheetViews>
  <sheetFormatPr defaultColWidth="9" defaultRowHeight="16.8" outlineLevelCol="1"/>
  <cols>
    <col min="1" max="1" width="12" customWidth="1"/>
    <col min="2" max="2" width="34" customWidth="1"/>
  </cols>
  <sheetData>
    <row r="1" ht="28" customHeight="1" spans="1:2">
      <c r="A1" s="25" t="s">
        <v>0</v>
      </c>
      <c r="B1" s="26" t="s">
        <v>1</v>
      </c>
    </row>
    <row r="2" ht="21" customHeight="1" spans="1:2">
      <c r="A2" s="27">
        <v>1</v>
      </c>
      <c r="B2" s="28" t="s">
        <v>2</v>
      </c>
    </row>
    <row r="3" ht="21" customHeight="1" spans="1:2">
      <c r="A3" s="29">
        <v>2</v>
      </c>
      <c r="B3" s="30" t="s">
        <v>2</v>
      </c>
    </row>
    <row r="4" ht="21" customHeight="1" spans="1:2">
      <c r="A4" s="29">
        <v>3</v>
      </c>
      <c r="B4" s="30" t="s">
        <v>2</v>
      </c>
    </row>
    <row r="5" ht="21" customHeight="1" spans="1:2">
      <c r="A5" s="29">
        <v>4</v>
      </c>
      <c r="B5" s="30" t="s">
        <v>3</v>
      </c>
    </row>
    <row r="6" ht="21" customHeight="1" spans="1:2">
      <c r="A6" s="29">
        <v>5</v>
      </c>
      <c r="B6" s="30" t="s">
        <v>2</v>
      </c>
    </row>
    <row r="7" ht="21" customHeight="1" spans="1:2">
      <c r="A7" s="29">
        <v>6</v>
      </c>
      <c r="B7" s="30" t="s">
        <v>3</v>
      </c>
    </row>
    <row r="8" ht="21" customHeight="1" spans="1:2">
      <c r="A8" s="29">
        <v>7</v>
      </c>
      <c r="B8" s="30" t="s">
        <v>3</v>
      </c>
    </row>
    <row r="9" ht="21" customHeight="1" spans="1:2">
      <c r="A9" s="29">
        <v>8</v>
      </c>
      <c r="B9" s="30" t="s">
        <v>3</v>
      </c>
    </row>
    <row r="10" ht="21" customHeight="1" spans="1:2">
      <c r="A10" s="29">
        <v>9</v>
      </c>
      <c r="B10" s="30" t="s">
        <v>3</v>
      </c>
    </row>
    <row r="11" ht="21" customHeight="1" spans="1:2">
      <c r="A11" s="29">
        <v>10</v>
      </c>
      <c r="B11" s="30" t="s">
        <v>2</v>
      </c>
    </row>
    <row r="12" ht="21" customHeight="1" spans="1:2">
      <c r="A12" s="29">
        <v>11</v>
      </c>
      <c r="B12" s="30" t="s">
        <v>2</v>
      </c>
    </row>
    <row r="13" ht="21" customHeight="1" spans="1:2">
      <c r="A13" s="29">
        <v>12</v>
      </c>
      <c r="B13" s="30" t="s">
        <v>2</v>
      </c>
    </row>
    <row r="14" ht="21" customHeight="1" spans="1:2">
      <c r="A14" s="29">
        <v>13</v>
      </c>
      <c r="B14" s="30" t="s">
        <v>4</v>
      </c>
    </row>
    <row r="15" ht="21" customHeight="1" spans="1:2">
      <c r="A15" s="29">
        <v>14</v>
      </c>
      <c r="B15" s="30" t="s">
        <v>2</v>
      </c>
    </row>
    <row r="16" ht="21" customHeight="1" spans="1:2">
      <c r="A16" s="29">
        <v>15</v>
      </c>
      <c r="B16" s="30" t="s">
        <v>4</v>
      </c>
    </row>
    <row r="17" ht="21" customHeight="1" spans="1:2">
      <c r="A17" s="29">
        <v>16</v>
      </c>
      <c r="B17" s="30" t="s">
        <v>3</v>
      </c>
    </row>
    <row r="18" ht="21" customHeight="1" spans="1:2">
      <c r="A18" s="29">
        <v>17</v>
      </c>
      <c r="B18" s="30" t="s">
        <v>3</v>
      </c>
    </row>
    <row r="19" ht="21" customHeight="1" spans="1:2">
      <c r="A19" s="29">
        <v>18</v>
      </c>
      <c r="B19" s="30" t="s">
        <v>2</v>
      </c>
    </row>
    <row r="20" ht="21" customHeight="1" spans="1:2">
      <c r="A20" s="29">
        <v>19</v>
      </c>
      <c r="B20" s="30" t="s">
        <v>2</v>
      </c>
    </row>
    <row r="21" ht="21" customHeight="1" spans="1:2">
      <c r="A21" s="29">
        <v>20</v>
      </c>
      <c r="B21" s="30" t="s">
        <v>3</v>
      </c>
    </row>
    <row r="22" ht="21" customHeight="1" spans="1:2">
      <c r="A22" s="29">
        <v>21</v>
      </c>
      <c r="B22" s="30" t="s">
        <v>2</v>
      </c>
    </row>
    <row r="23" ht="21" customHeight="1" spans="1:2">
      <c r="A23" s="29">
        <v>22</v>
      </c>
      <c r="B23" s="30" t="s">
        <v>3</v>
      </c>
    </row>
    <row r="24" ht="21" customHeight="1" spans="1:2">
      <c r="A24" s="29">
        <v>23</v>
      </c>
      <c r="B24" s="30" t="s">
        <v>2</v>
      </c>
    </row>
    <row r="25" ht="21" customHeight="1" spans="1:2">
      <c r="A25" s="29">
        <v>24</v>
      </c>
      <c r="B25" s="30" t="s">
        <v>3</v>
      </c>
    </row>
    <row r="26" ht="21" customHeight="1" spans="1:2">
      <c r="A26" s="29">
        <v>25</v>
      </c>
      <c r="B26" s="30" t="s">
        <v>4</v>
      </c>
    </row>
    <row r="27" ht="21" customHeight="1" spans="1:2">
      <c r="A27" s="29">
        <v>26</v>
      </c>
      <c r="B27" s="30" t="s">
        <v>2</v>
      </c>
    </row>
    <row r="28" ht="21" customHeight="1" spans="1:2">
      <c r="A28" s="29">
        <v>27</v>
      </c>
      <c r="B28" s="30" t="s">
        <v>3</v>
      </c>
    </row>
    <row r="29" ht="21" customHeight="1" spans="1:2">
      <c r="A29" s="29">
        <v>28</v>
      </c>
      <c r="B29" s="30" t="s">
        <v>3</v>
      </c>
    </row>
    <row r="30" ht="21" customHeight="1" spans="1:2">
      <c r="A30" s="29">
        <v>29</v>
      </c>
      <c r="B30" s="30" t="s">
        <v>4</v>
      </c>
    </row>
    <row r="31" ht="21" customHeight="1" spans="1:2">
      <c r="A31" s="29">
        <v>30</v>
      </c>
      <c r="B31" s="30" t="s">
        <v>2</v>
      </c>
    </row>
    <row r="32" ht="21" customHeight="1" spans="1:2">
      <c r="A32" s="29">
        <v>31</v>
      </c>
      <c r="B32" s="30" t="s">
        <v>3</v>
      </c>
    </row>
    <row r="33" ht="21" customHeight="1" spans="1:2">
      <c r="A33" s="29">
        <v>32</v>
      </c>
      <c r="B33" s="30" t="s">
        <v>2</v>
      </c>
    </row>
    <row r="34" ht="21" customHeight="1" spans="1:2">
      <c r="A34" s="29">
        <v>33</v>
      </c>
      <c r="B34" s="30" t="s">
        <v>4</v>
      </c>
    </row>
    <row r="35" ht="21" customHeight="1" spans="1:2">
      <c r="A35" s="29">
        <v>34</v>
      </c>
      <c r="B35" s="30" t="s">
        <v>3</v>
      </c>
    </row>
    <row r="36" ht="21" customHeight="1" spans="1:2">
      <c r="A36" s="29">
        <v>35</v>
      </c>
      <c r="B36" s="30" t="s">
        <v>3</v>
      </c>
    </row>
    <row r="37" ht="21" customHeight="1" spans="1:2">
      <c r="A37" s="29">
        <v>36</v>
      </c>
      <c r="B37" s="30" t="s">
        <v>2</v>
      </c>
    </row>
    <row r="38" ht="21" customHeight="1" spans="1:2">
      <c r="A38" s="29">
        <v>37</v>
      </c>
      <c r="B38" s="30" t="s">
        <v>2</v>
      </c>
    </row>
    <row r="39" ht="21" customHeight="1" spans="1:2">
      <c r="A39" s="29">
        <v>38</v>
      </c>
      <c r="B39" s="30" t="s">
        <v>4</v>
      </c>
    </row>
    <row r="40" ht="21" customHeight="1" spans="1:2">
      <c r="A40" s="29">
        <v>39</v>
      </c>
      <c r="B40" s="30" t="s">
        <v>4</v>
      </c>
    </row>
    <row r="41" ht="21" customHeight="1" spans="1:2">
      <c r="A41" s="29">
        <v>40</v>
      </c>
      <c r="B41" s="30" t="s">
        <v>4</v>
      </c>
    </row>
    <row r="42" ht="21" customHeight="1" spans="1:2">
      <c r="A42" s="29">
        <v>41</v>
      </c>
      <c r="B42" s="30" t="s">
        <v>3</v>
      </c>
    </row>
    <row r="43" ht="21" customHeight="1" spans="1:2">
      <c r="A43" s="29">
        <v>42</v>
      </c>
      <c r="B43" s="30" t="s">
        <v>3</v>
      </c>
    </row>
    <row r="44" ht="21" customHeight="1" spans="1:2">
      <c r="A44" s="29">
        <v>43</v>
      </c>
      <c r="B44" s="30" t="s">
        <v>2</v>
      </c>
    </row>
    <row r="45" ht="21" customHeight="1" spans="1:2">
      <c r="A45" s="29">
        <v>44</v>
      </c>
      <c r="B45" s="30" t="s">
        <v>2</v>
      </c>
    </row>
    <row r="46" ht="21" customHeight="1" spans="1:2">
      <c r="A46" s="29">
        <v>45</v>
      </c>
      <c r="B46" s="30" t="s">
        <v>3</v>
      </c>
    </row>
    <row r="47" ht="21" customHeight="1" spans="1:2">
      <c r="A47" s="29">
        <v>46</v>
      </c>
      <c r="B47" s="30" t="s">
        <v>2</v>
      </c>
    </row>
    <row r="48" ht="21" customHeight="1" spans="1:2">
      <c r="A48" s="29">
        <v>47</v>
      </c>
      <c r="B48" s="30" t="s">
        <v>3</v>
      </c>
    </row>
    <row r="49" ht="21" customHeight="1" spans="1:2">
      <c r="A49" s="29">
        <v>48</v>
      </c>
      <c r="B49" s="30" t="s">
        <v>2</v>
      </c>
    </row>
    <row r="50" ht="21" customHeight="1" spans="1:2">
      <c r="A50" s="29">
        <v>49</v>
      </c>
      <c r="B50" s="30" t="s">
        <v>2</v>
      </c>
    </row>
    <row r="51" ht="21" customHeight="1" spans="1:2">
      <c r="A51" s="29">
        <v>50</v>
      </c>
      <c r="B51" s="30" t="s">
        <v>4</v>
      </c>
    </row>
    <row r="52" ht="21" customHeight="1" spans="1:2">
      <c r="A52" s="29">
        <v>51</v>
      </c>
      <c r="B52" s="30"/>
    </row>
    <row r="53" ht="21" customHeight="1" spans="1:2">
      <c r="A53" s="29">
        <v>52</v>
      </c>
      <c r="B53" s="30"/>
    </row>
    <row r="54" ht="21" customHeight="1" spans="1:2">
      <c r="A54" s="29">
        <v>53</v>
      </c>
      <c r="B54" s="30"/>
    </row>
    <row r="55" ht="21" customHeight="1" spans="1:2">
      <c r="A55" s="29">
        <v>54</v>
      </c>
      <c r="B55" s="30"/>
    </row>
    <row r="56" ht="21" customHeight="1" spans="1:2">
      <c r="A56" s="29">
        <v>55</v>
      </c>
      <c r="B56" s="30"/>
    </row>
    <row r="57" ht="21" customHeight="1" spans="1:2">
      <c r="A57" s="29">
        <v>56</v>
      </c>
      <c r="B57" s="30"/>
    </row>
    <row r="58" ht="21" customHeight="1" spans="1:2">
      <c r="A58" s="29">
        <v>57</v>
      </c>
      <c r="B58" s="30"/>
    </row>
    <row r="59" ht="21" customHeight="1" spans="1:2">
      <c r="A59" s="29">
        <v>58</v>
      </c>
      <c r="B59" s="30"/>
    </row>
    <row r="60" ht="21" customHeight="1" spans="1:2">
      <c r="A60" s="29">
        <v>59</v>
      </c>
      <c r="B60" s="30"/>
    </row>
    <row r="61" ht="21" customHeight="1" spans="1:2">
      <c r="A61" s="29">
        <v>60</v>
      </c>
      <c r="B61" s="30"/>
    </row>
    <row r="62" ht="21" customHeight="1" spans="1:2">
      <c r="A62" s="29">
        <v>61</v>
      </c>
      <c r="B62" s="30"/>
    </row>
    <row r="63" ht="21" customHeight="1" spans="1:2">
      <c r="A63" s="29">
        <v>62</v>
      </c>
      <c r="B63" s="30"/>
    </row>
    <row r="64" ht="21" customHeight="1" spans="1:2">
      <c r="A64" s="29">
        <v>63</v>
      </c>
      <c r="B64" s="30"/>
    </row>
    <row r="65" ht="21" customHeight="1" spans="1:2">
      <c r="A65" s="29">
        <v>64</v>
      </c>
      <c r="B65" s="30"/>
    </row>
    <row r="66" ht="21" customHeight="1" spans="1:2">
      <c r="A66" s="29">
        <v>65</v>
      </c>
      <c r="B66" s="30"/>
    </row>
    <row r="67" ht="21" customHeight="1" spans="1:2">
      <c r="A67" s="29">
        <v>66</v>
      </c>
      <c r="B67" s="30"/>
    </row>
    <row r="68" ht="21" customHeight="1" spans="1:2">
      <c r="A68" s="29">
        <v>67</v>
      </c>
      <c r="B68" s="30"/>
    </row>
    <row r="69" ht="21" customHeight="1" spans="1:2">
      <c r="A69" s="29">
        <v>68</v>
      </c>
      <c r="B69" s="30"/>
    </row>
    <row r="70" ht="21" customHeight="1" spans="1:2">
      <c r="A70" s="29">
        <v>69</v>
      </c>
      <c r="B70" s="30"/>
    </row>
    <row r="71" ht="21" customHeight="1" spans="1:2">
      <c r="A71" s="29">
        <v>70</v>
      </c>
      <c r="B71" s="30"/>
    </row>
    <row r="72" ht="21" customHeight="1" spans="1:2">
      <c r="A72" s="29">
        <v>71</v>
      </c>
      <c r="B72" s="30"/>
    </row>
    <row r="73" ht="21" customHeight="1" spans="1:2">
      <c r="A73" s="29">
        <v>72</v>
      </c>
      <c r="B73" s="30"/>
    </row>
    <row r="74" ht="21" customHeight="1" spans="1:2">
      <c r="A74" s="29">
        <v>73</v>
      </c>
      <c r="B74" s="30"/>
    </row>
    <row r="75" ht="21" customHeight="1" spans="1:2">
      <c r="A75" s="29">
        <v>74</v>
      </c>
      <c r="B75" s="30"/>
    </row>
    <row r="76" ht="21" customHeight="1" spans="1:2">
      <c r="A76" s="29">
        <v>75</v>
      </c>
      <c r="B76" s="30"/>
    </row>
    <row r="77" ht="21" customHeight="1" spans="1:2">
      <c r="A77" s="29">
        <v>76</v>
      </c>
      <c r="B77" s="30"/>
    </row>
    <row r="78" ht="21" customHeight="1" spans="1:2">
      <c r="A78" s="29">
        <v>77</v>
      </c>
      <c r="B78" s="30"/>
    </row>
    <row r="79" ht="21" customHeight="1" spans="1:2">
      <c r="A79" s="29">
        <v>78</v>
      </c>
      <c r="B79" s="30"/>
    </row>
    <row r="80" ht="21" customHeight="1" spans="1:2">
      <c r="A80" s="29">
        <v>79</v>
      </c>
      <c r="B80" s="30"/>
    </row>
    <row r="81" ht="21" customHeight="1" spans="1:2">
      <c r="A81" s="29">
        <v>80</v>
      </c>
      <c r="B81" s="30"/>
    </row>
    <row r="82" ht="21" customHeight="1" spans="1:2">
      <c r="A82" s="29">
        <v>81</v>
      </c>
      <c r="B82" s="30"/>
    </row>
    <row r="83" ht="21" customHeight="1" spans="1:2">
      <c r="A83" s="29">
        <v>82</v>
      </c>
      <c r="B83" s="30"/>
    </row>
    <row r="84" ht="21" customHeight="1" spans="1:2">
      <c r="A84" s="29">
        <v>83</v>
      </c>
      <c r="B84" s="30"/>
    </row>
    <row r="85" ht="21" customHeight="1" spans="1:2">
      <c r="A85" s="29">
        <v>84</v>
      </c>
      <c r="B85" s="30"/>
    </row>
    <row r="86" ht="21" customHeight="1" spans="1:2">
      <c r="A86" s="29">
        <v>85</v>
      </c>
      <c r="B86" s="30"/>
    </row>
    <row r="87" ht="21" customHeight="1" spans="1:2">
      <c r="A87" s="29">
        <v>86</v>
      </c>
      <c r="B87" s="30"/>
    </row>
    <row r="88" ht="21" customHeight="1" spans="1:2">
      <c r="A88" s="29">
        <v>87</v>
      </c>
      <c r="B88" s="30"/>
    </row>
    <row r="89" ht="21" customHeight="1" spans="1:2">
      <c r="A89" s="29">
        <v>88</v>
      </c>
      <c r="B89" s="30"/>
    </row>
    <row r="90" ht="21" customHeight="1" spans="1:2">
      <c r="A90" s="29">
        <v>89</v>
      </c>
      <c r="B90" s="30"/>
    </row>
    <row r="91" ht="21" customHeight="1" spans="1:2">
      <c r="A91" s="29">
        <v>90</v>
      </c>
      <c r="B91" s="30"/>
    </row>
    <row r="92" ht="21" customHeight="1" spans="1:2">
      <c r="A92" s="29">
        <v>91</v>
      </c>
      <c r="B92" s="30"/>
    </row>
    <row r="93" ht="21" customHeight="1" spans="1:2">
      <c r="A93" s="29">
        <v>92</v>
      </c>
      <c r="B93" s="30"/>
    </row>
    <row r="94" ht="21" customHeight="1" spans="1:2">
      <c r="A94" s="29">
        <v>93</v>
      </c>
      <c r="B94" s="30"/>
    </row>
    <row r="95" ht="21" customHeight="1" spans="1:2">
      <c r="A95" s="29">
        <v>94</v>
      </c>
      <c r="B95" s="30"/>
    </row>
    <row r="96" ht="21" customHeight="1" spans="1:2">
      <c r="A96" s="29">
        <v>95</v>
      </c>
      <c r="B96" s="30"/>
    </row>
    <row r="97" ht="21" customHeight="1" spans="1:2">
      <c r="A97" s="29">
        <v>96</v>
      </c>
      <c r="B97" s="30"/>
    </row>
    <row r="98" ht="21" customHeight="1" spans="1:2">
      <c r="A98" s="29">
        <v>97</v>
      </c>
      <c r="B98" s="30"/>
    </row>
    <row r="99" ht="21" customHeight="1" spans="1:2">
      <c r="A99" s="29">
        <v>98</v>
      </c>
      <c r="B99" s="30"/>
    </row>
    <row r="100" ht="21" customHeight="1" spans="1:2">
      <c r="A100" s="29">
        <v>99</v>
      </c>
      <c r="B100" s="30"/>
    </row>
    <row r="101" ht="21" customHeight="1" spans="1:2">
      <c r="A101" s="29">
        <v>100</v>
      </c>
      <c r="B101" s="30"/>
    </row>
    <row r="102" ht="21" customHeight="1" spans="1:2">
      <c r="A102" s="29">
        <v>101</v>
      </c>
      <c r="B102" s="30"/>
    </row>
    <row r="103" ht="21" customHeight="1" spans="1:2">
      <c r="A103" s="29">
        <v>102</v>
      </c>
      <c r="B103" s="30"/>
    </row>
    <row r="104" ht="21" customHeight="1" spans="1:2">
      <c r="A104" s="29">
        <v>103</v>
      </c>
      <c r="B104" s="30"/>
    </row>
    <row r="105" ht="21" customHeight="1" spans="1:2">
      <c r="A105" s="29">
        <v>104</v>
      </c>
      <c r="B105" s="30"/>
    </row>
    <row r="106" ht="21" customHeight="1" spans="1:2">
      <c r="A106" s="29">
        <v>105</v>
      </c>
      <c r="B106" s="30"/>
    </row>
    <row r="107" ht="21" customHeight="1" spans="1:2">
      <c r="A107" s="29">
        <v>106</v>
      </c>
      <c r="B107" s="30"/>
    </row>
    <row r="108" ht="21" customHeight="1" spans="1:2">
      <c r="A108" s="29">
        <v>107</v>
      </c>
      <c r="B108" s="30"/>
    </row>
    <row r="109" ht="21" customHeight="1" spans="1:2">
      <c r="A109" s="29">
        <v>108</v>
      </c>
      <c r="B109" s="30"/>
    </row>
    <row r="110" ht="21" customHeight="1" spans="1:2">
      <c r="A110" s="29">
        <v>109</v>
      </c>
      <c r="B110" s="30"/>
    </row>
    <row r="111" ht="21" customHeight="1" spans="1:2">
      <c r="A111" s="29">
        <v>110</v>
      </c>
      <c r="B111" s="30"/>
    </row>
    <row r="112" ht="21" customHeight="1" spans="1:2">
      <c r="A112" s="29">
        <v>111</v>
      </c>
      <c r="B112" s="30"/>
    </row>
    <row r="113" ht="21" customHeight="1" spans="1:2">
      <c r="A113" s="29">
        <v>112</v>
      </c>
      <c r="B113" s="30"/>
    </row>
    <row r="114" ht="21" customHeight="1" spans="1:2">
      <c r="A114" s="29">
        <v>113</v>
      </c>
      <c r="B114" s="30"/>
    </row>
    <row r="115" ht="21" customHeight="1" spans="1:2">
      <c r="A115" s="29">
        <v>114</v>
      </c>
      <c r="B115" s="30"/>
    </row>
    <row r="116" ht="21" customHeight="1" spans="1:2">
      <c r="A116" s="29">
        <v>115</v>
      </c>
      <c r="B116" s="30"/>
    </row>
    <row r="117" ht="21" customHeight="1" spans="1:2">
      <c r="A117" s="29">
        <v>116</v>
      </c>
      <c r="B117" s="30"/>
    </row>
    <row r="118" ht="21" customHeight="1" spans="1:2">
      <c r="A118" s="29">
        <v>117</v>
      </c>
      <c r="B118" s="30"/>
    </row>
    <row r="119" ht="21" customHeight="1" spans="1:2">
      <c r="A119" s="29">
        <v>118</v>
      </c>
      <c r="B119" s="30"/>
    </row>
    <row r="120" ht="21" customHeight="1" spans="1:2">
      <c r="A120" s="29">
        <v>119</v>
      </c>
      <c r="B120" s="30"/>
    </row>
    <row r="121" ht="21" customHeight="1" spans="1:2">
      <c r="A121" s="29">
        <v>120</v>
      </c>
      <c r="B121" s="30"/>
    </row>
    <row r="122" ht="21" customHeight="1" spans="1:2">
      <c r="A122" s="29">
        <v>121</v>
      </c>
      <c r="B122" s="30"/>
    </row>
    <row r="123" ht="21" customHeight="1" spans="1:2">
      <c r="A123" s="29">
        <v>122</v>
      </c>
      <c r="B123" s="30"/>
    </row>
    <row r="124" ht="21" customHeight="1" spans="1:2">
      <c r="A124" s="29">
        <v>123</v>
      </c>
      <c r="B124" s="30"/>
    </row>
    <row r="125" ht="21" customHeight="1" spans="1:2">
      <c r="A125" s="29">
        <v>124</v>
      </c>
      <c r="B125" s="30"/>
    </row>
    <row r="126" ht="21" customHeight="1" spans="1:2">
      <c r="A126" s="29">
        <v>125</v>
      </c>
      <c r="B126" s="30"/>
    </row>
    <row r="127" ht="21" customHeight="1" spans="1:2">
      <c r="A127" s="29">
        <v>126</v>
      </c>
      <c r="B127" s="30"/>
    </row>
    <row r="128" ht="21" customHeight="1" spans="1:2">
      <c r="A128" s="29">
        <v>127</v>
      </c>
      <c r="B128" s="30"/>
    </row>
    <row r="129" ht="21" customHeight="1" spans="1:2">
      <c r="A129" s="29">
        <v>128</v>
      </c>
      <c r="B129" s="30"/>
    </row>
    <row r="130" ht="21" customHeight="1" spans="1:2">
      <c r="A130" s="29">
        <v>129</v>
      </c>
      <c r="B130" s="30"/>
    </row>
    <row r="131" ht="21" customHeight="1" spans="1:2">
      <c r="A131" s="29">
        <v>130</v>
      </c>
      <c r="B131" s="30"/>
    </row>
    <row r="132" ht="21" customHeight="1" spans="1:2">
      <c r="A132" s="29">
        <v>131</v>
      </c>
      <c r="B132" s="30"/>
    </row>
    <row r="133" ht="21" customHeight="1" spans="1:2">
      <c r="A133" s="29">
        <v>132</v>
      </c>
      <c r="B133" s="30"/>
    </row>
    <row r="134" ht="21" customHeight="1" spans="1:2">
      <c r="A134" s="29">
        <v>133</v>
      </c>
      <c r="B134" s="30"/>
    </row>
    <row r="135" ht="21" customHeight="1" spans="1:2">
      <c r="A135" s="29">
        <v>134</v>
      </c>
      <c r="B135" s="30"/>
    </row>
    <row r="136" ht="21" customHeight="1" spans="1:2">
      <c r="A136" s="29">
        <v>135</v>
      </c>
      <c r="B136" s="30"/>
    </row>
    <row r="137" ht="21" customHeight="1" spans="1:2">
      <c r="A137" s="29">
        <v>136</v>
      </c>
      <c r="B137" s="30"/>
    </row>
    <row r="138" ht="21" customHeight="1" spans="1:2">
      <c r="A138" s="29">
        <v>137</v>
      </c>
      <c r="B138" s="30"/>
    </row>
    <row r="139" ht="21" customHeight="1" spans="1:2">
      <c r="A139" s="29">
        <v>138</v>
      </c>
      <c r="B139" s="30"/>
    </row>
    <row r="140" ht="21" customHeight="1" spans="1:2">
      <c r="A140" s="29">
        <v>139</v>
      </c>
      <c r="B140" s="30"/>
    </row>
    <row r="141" ht="21" customHeight="1" spans="1:2">
      <c r="A141" s="29">
        <v>140</v>
      </c>
      <c r="B141" s="30"/>
    </row>
    <row r="142" ht="21" customHeight="1" spans="1:2">
      <c r="A142" s="29">
        <v>141</v>
      </c>
      <c r="B142" s="30"/>
    </row>
    <row r="143" ht="21" customHeight="1" spans="1:2">
      <c r="A143" s="29">
        <v>142</v>
      </c>
      <c r="B143" s="30"/>
    </row>
    <row r="144" ht="21" customHeight="1" spans="1:2">
      <c r="A144" s="29">
        <v>143</v>
      </c>
      <c r="B144" s="30"/>
    </row>
    <row r="145" ht="21" customHeight="1" spans="1:2">
      <c r="A145" s="29">
        <v>144</v>
      </c>
      <c r="B145" s="30"/>
    </row>
    <row r="146" ht="21" customHeight="1" spans="1:2">
      <c r="A146" s="29">
        <v>145</v>
      </c>
      <c r="B146" s="30"/>
    </row>
    <row r="147" ht="21" customHeight="1" spans="1:2">
      <c r="A147" s="29">
        <v>146</v>
      </c>
      <c r="B147" s="30"/>
    </row>
    <row r="148" ht="21" customHeight="1" spans="1:2">
      <c r="A148" s="29">
        <v>147</v>
      </c>
      <c r="B148" s="30"/>
    </row>
    <row r="149" ht="21" customHeight="1" spans="1:2">
      <c r="A149" s="29">
        <v>148</v>
      </c>
      <c r="B149" s="30"/>
    </row>
    <row r="150" ht="21" customHeight="1" spans="1:2">
      <c r="A150" s="29">
        <v>149</v>
      </c>
      <c r="B150" s="30"/>
    </row>
    <row r="151" ht="21" customHeight="1" spans="1:2">
      <c r="A151" s="31">
        <v>150</v>
      </c>
      <c r="B151" s="32"/>
    </row>
  </sheetData>
  <conditionalFormatting sqref="B2:B151">
    <cfRule type="containsText" dxfId="0" priority="1" operator="between" text="Concordante">
      <formula>NOT(ISERROR(SEARCH("Concordante",B2)))</formula>
    </cfRule>
    <cfRule type="containsText" dxfId="1" priority="2" operator="between" text="parcialmente concordante">
      <formula>NOT(ISERROR(SEARCH("parcialmente concordante",B2)))</formula>
    </cfRule>
    <cfRule type="containsText" dxfId="2" priority="3" operator="between" text="no concordante">
      <formula>NOT(ISERROR(SEARCH("no concordante",B2)))</formula>
    </cfRule>
  </conditionalFormatting>
  <dataValidations count="1">
    <dataValidation type="list" sqref="B2:B151">
      <formula1>"Concordante,parcialmente concordante,no concordante"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selection activeCell="A1" sqref="A1:D1"/>
    </sheetView>
  </sheetViews>
  <sheetFormatPr defaultColWidth="9" defaultRowHeight="16.8" outlineLevelCol="6"/>
  <cols>
    <col min="1" max="1" width="31" customWidth="1"/>
    <col min="2" max="2" width="12" customWidth="1"/>
    <col min="3" max="3" width="19" customWidth="1"/>
    <col min="4" max="4" width="21" customWidth="1"/>
    <col min="5" max="5" width="3" customWidth="1"/>
    <col min="6" max="6" width="24" customWidth="1"/>
    <col min="7" max="7" width="15" customWidth="1"/>
  </cols>
  <sheetData>
    <row r="1" ht="32" customHeight="1" spans="1:7">
      <c r="A1" s="1" t="s">
        <v>5</v>
      </c>
      <c r="B1" s="1"/>
      <c r="C1" s="1"/>
      <c r="D1" s="1"/>
      <c r="F1" s="2" t="s">
        <v>6</v>
      </c>
      <c r="G1" s="2" t="s">
        <v>7</v>
      </c>
    </row>
    <row r="2" spans="1:7">
      <c r="F2" s="3" t="s">
        <v>8</v>
      </c>
      <c r="G2" s="4">
        <v>150</v>
      </c>
    </row>
    <row r="3" ht="17" spans="1:7">
      <c r="A3" s="5" t="s">
        <v>9</v>
      </c>
      <c r="B3" s="5" t="s">
        <v>10</v>
      </c>
      <c r="C3" s="5" t="s">
        <v>11</v>
      </c>
      <c r="D3" s="5" t="s">
        <v>12</v>
      </c>
      <c r="F3" s="6" t="s">
        <v>13</v>
      </c>
      <c r="G3" s="7">
        <f>COUNTIF(Etiquetado!$B$2:$B$151,"&lt;&gt;")</f>
        <v>50</v>
      </c>
    </row>
    <row r="4" spans="1:7">
      <c r="A4" s="8" t="s">
        <v>4</v>
      </c>
      <c r="B4" s="9">
        <f>COUNTIF(Etiquetado!$B$2:$B$151,A4)</f>
        <v>9</v>
      </c>
      <c r="C4" s="10">
        <f>B4/$G$2</f>
        <v>0.06</v>
      </c>
      <c r="D4" s="11">
        <f>IF($G$3=0,0,B4/$G$3)</f>
        <v>0.18</v>
      </c>
      <c r="F4" s="6" t="s">
        <v>14</v>
      </c>
      <c r="G4" s="7">
        <f>G2-G3</f>
        <v>100</v>
      </c>
    </row>
    <row r="5" spans="1:7">
      <c r="A5" s="12" t="s">
        <v>2</v>
      </c>
      <c r="B5" s="13">
        <f>COUNTIF(Etiquetado!$B$2:$B$151,A5)</f>
        <v>22</v>
      </c>
      <c r="C5" s="14">
        <f>B5/$G$2</f>
        <v>0.146666666666667</v>
      </c>
      <c r="D5" s="15">
        <f>IF($G$3=0,0,B5/$G$3)</f>
        <v>0.44</v>
      </c>
      <c r="F5" s="6" t="s">
        <v>15</v>
      </c>
      <c r="G5" s="16">
        <f>G3/G2</f>
        <v>0.333333333333333</v>
      </c>
    </row>
    <row r="6" spans="1:7">
      <c r="A6" s="17" t="s">
        <v>3</v>
      </c>
      <c r="B6" s="18">
        <f>COUNTIF(Etiquetado!$B$2:$B$151,A6)</f>
        <v>19</v>
      </c>
      <c r="C6" s="19">
        <f>B6/$G$2</f>
        <v>0.126666666666667</v>
      </c>
      <c r="D6" s="20">
        <f>IF($G$3=0,0,B6/$G$3)</f>
        <v>0.38</v>
      </c>
      <c r="F6" s="6" t="s">
        <v>16</v>
      </c>
      <c r="G6" s="21">
        <f>SUM(B4:B6)</f>
        <v>50</v>
      </c>
    </row>
    <row r="7" spans="1:7">
      <c r="F7" s="6" t="s">
        <v>17</v>
      </c>
      <c r="G7" s="21">
        <f>AVERAGE(B4:B6)</f>
        <v>16.6666666666667</v>
      </c>
    </row>
    <row r="8" spans="1:7">
      <c r="A8" s="22" t="s">
        <v>18</v>
      </c>
      <c r="B8" s="22" t="s">
        <v>18</v>
      </c>
      <c r="C8" s="22" t="s">
        <v>18</v>
      </c>
      <c r="D8" s="22" t="s">
        <v>18</v>
      </c>
      <c r="F8" s="23" t="s">
        <v>19</v>
      </c>
      <c r="G8" s="24" t="str">
        <f>IF(G6=G3,"OK","REVISAR")</f>
        <v>OK</v>
      </c>
    </row>
    <row r="9" spans="1:7">
      <c r="A9" s="22" t="s">
        <v>18</v>
      </c>
      <c r="B9" s="22" t="s">
        <v>18</v>
      </c>
      <c r="C9" s="22" t="s">
        <v>18</v>
      </c>
      <c r="D9" s="22" t="s">
        <v>18</v>
      </c>
    </row>
  </sheetData>
  <mergeCells count="2">
    <mergeCell ref="A1:D1"/>
    <mergeCell ref="A8:D9"/>
  </mergeCells>
  <conditionalFormatting sqref="G8">
    <cfRule type="containsText" dxfId="3" priority="1" operator="between" text="OK">
      <formula>NOT(ISERROR(SEARCH("OK",G8)))</formula>
    </cfRule>
    <cfRule type="containsText" dxfId="4" priority="2" operator="between" text="REVISAR">
      <formula>NOT(ISERROR(SEARCH("REVISAR",G8)))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Etiquetado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Azcoiti</cp:lastModifiedBy>
  <dcterms:created xsi:type="dcterms:W3CDTF">2026-06-22T16:30:33Z</dcterms:created>
  <dcterms:modified xsi:type="dcterms:W3CDTF">2026-06-22T16:45:11Z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891AEE5EE5BD68E2774A396AC3C56A0B_42</vt:lpwstr>
  </property>
  <property fmtid="{D5CDD505-2E9C-101B-9397-08002B2CF9AE}" pid="3" name="KSOProductBuildVer">
    <vt:lpwstr>2058-12.1.26015.26015</vt:lpwstr>
  </property>
  <property fmtid="{D5CDD505-2E9C-101B-9397-08002B2CF9AE}" pid="4" name="CalculationRule">
    <vt:i4>0</vt:i4>
  </property>
</Properties>
</file>